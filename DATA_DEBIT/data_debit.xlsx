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8\TA\BUKU TA_YOEL\DATA_DEBIT\"/>
    </mc:Choice>
  </mc:AlternateContent>
  <xr:revisionPtr revIDLastSave="0" documentId="13_ncr:1_{B75E277F-5893-411C-89F9-F9D7D5B87DB3}" xr6:coauthVersionLast="47" xr6:coauthVersionMax="47" xr10:uidLastSave="{00000000-0000-0000-0000-000000000000}"/>
  <bookViews>
    <workbookView xWindow="-108" yWindow="-108" windowWidth="23256" windowHeight="12456" xr2:uid="{5C368EEE-105E-40B0-BC0D-770EEEFA96F2}"/>
  </bookViews>
  <sheets>
    <sheet name="Kontrol ANN" sheetId="1" r:id="rId1"/>
    <sheet name="Open Loo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D35" i="1"/>
  <c r="E34" i="1"/>
  <c r="F34" i="1"/>
  <c r="G34" i="1"/>
  <c r="D34" i="1"/>
  <c r="D13" i="1"/>
  <c r="D12" i="1"/>
  <c r="F27" i="1"/>
  <c r="D27" i="1"/>
  <c r="E26" i="1"/>
  <c r="E27" i="1" s="1"/>
  <c r="E20" i="1"/>
  <c r="D20" i="1"/>
  <c r="D21" i="1" s="1"/>
  <c r="D28" i="1" l="1"/>
</calcChain>
</file>

<file path=xl/sharedStrings.xml><?xml version="1.0" encoding="utf-8"?>
<sst xmlns="http://schemas.openxmlformats.org/spreadsheetml/2006/main" count="94" uniqueCount="22">
  <si>
    <t>keran</t>
  </si>
  <si>
    <t>Parameter</t>
  </si>
  <si>
    <t>Pengujian 1: 25 Juni 2026: NN</t>
  </si>
  <si>
    <t>Debit (mL/s)</t>
  </si>
  <si>
    <t>Debit Total (mL/s)</t>
  </si>
  <si>
    <t>Waktu (s)</t>
  </si>
  <si>
    <t>Volume (mL)</t>
  </si>
  <si>
    <t>Jumlah Keran</t>
  </si>
  <si>
    <t>Percobaan 1 keran</t>
  </si>
  <si>
    <t>Percobaan 2 keran</t>
  </si>
  <si>
    <t>Percobaan 3 keran</t>
  </si>
  <si>
    <t>Percobaan 4 keran</t>
  </si>
  <si>
    <t>Pengujian 2: XX Juni 2026: NN</t>
  </si>
  <si>
    <t>Tekanan (bar)</t>
  </si>
  <si>
    <t>Pengujian 1: 25 Juni 2026: OPEN LOOP DUTY START 90%</t>
  </si>
  <si>
    <t>Percobaan 1</t>
  </si>
  <si>
    <t>Percobaan 2</t>
  </si>
  <si>
    <t>Percobaan 3</t>
  </si>
  <si>
    <t>Percobaan 4</t>
  </si>
  <si>
    <t>Keran dibuka</t>
  </si>
  <si>
    <t>t = 15</t>
  </si>
  <si>
    <t>volume tiap keran, duty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</si>
</sst>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1B51-A031-49E6-B52A-6BA519A7D003}">
  <dimension ref="A1:S68"/>
  <sheetViews>
    <sheetView tabSelected="1" topLeftCell="A2" zoomScale="70" zoomScaleNormal="70" workbookViewId="0">
      <selection activeCell="O21" sqref="O21"/>
    </sheetView>
  </sheetViews>
  <sheetFormatPr defaultRowHeight="14.4" x14ac:dyDescent="0.3"/>
  <cols>
    <col min="3" max="3" width="21.6640625" customWidth="1"/>
    <col min="4" max="4" width="10.5546875" customWidth="1"/>
    <col min="5" max="5" width="17.88671875" customWidth="1"/>
    <col min="6" max="6" width="21.88671875" customWidth="1"/>
    <col min="7" max="7" width="17.77734375" customWidth="1"/>
    <col min="13" max="13" width="17" customWidth="1"/>
  </cols>
  <sheetData>
    <row r="1" spans="1:19" x14ac:dyDescent="0.3">
      <c r="A1" s="1"/>
      <c r="B1" s="1"/>
      <c r="C1" s="1"/>
      <c r="D1" s="1"/>
      <c r="E1" s="1"/>
      <c r="F1" s="1"/>
      <c r="G1" s="1"/>
    </row>
    <row r="2" spans="1:19" x14ac:dyDescent="0.3">
      <c r="A2" s="1"/>
      <c r="B2" s="1"/>
      <c r="C2" s="1"/>
      <c r="D2" s="1"/>
      <c r="E2" s="1"/>
      <c r="F2" s="1"/>
      <c r="G2" s="1"/>
    </row>
    <row r="6" spans="1:19" ht="20.399999999999999" x14ac:dyDescent="0.7">
      <c r="C6" s="8" t="s">
        <v>2</v>
      </c>
      <c r="D6" s="8"/>
      <c r="E6" s="8"/>
      <c r="F6" s="8"/>
      <c r="G6" s="8"/>
      <c r="M6" s="12"/>
      <c r="N6" s="13" t="s">
        <v>21</v>
      </c>
      <c r="O6" s="14"/>
      <c r="P6" s="14"/>
      <c r="Q6" s="14"/>
      <c r="R6" s="15"/>
      <c r="S6" s="1"/>
    </row>
    <row r="7" spans="1:19" ht="20.399999999999999" x14ac:dyDescent="0.3">
      <c r="C7" s="5" t="s">
        <v>8</v>
      </c>
      <c r="D7" s="5"/>
      <c r="E7" s="5"/>
      <c r="F7" s="5"/>
      <c r="G7" s="5"/>
      <c r="M7" s="12" t="s">
        <v>19</v>
      </c>
      <c r="N7" s="12">
        <v>1</v>
      </c>
      <c r="O7" s="12">
        <v>2</v>
      </c>
      <c r="P7" s="12">
        <v>3</v>
      </c>
      <c r="Q7" s="12">
        <v>4</v>
      </c>
      <c r="R7" s="12"/>
      <c r="S7" s="16" t="s">
        <v>20</v>
      </c>
    </row>
    <row r="8" spans="1:19" ht="20.399999999999999" x14ac:dyDescent="0.3">
      <c r="C8" s="6" t="s">
        <v>1</v>
      </c>
      <c r="D8" s="6" t="s">
        <v>7</v>
      </c>
      <c r="E8" s="6"/>
      <c r="F8" s="6"/>
      <c r="G8" s="6"/>
      <c r="M8" s="12">
        <v>1</v>
      </c>
      <c r="N8" s="12">
        <v>970</v>
      </c>
      <c r="O8" s="12"/>
      <c r="P8" s="12"/>
      <c r="Q8" s="12"/>
      <c r="R8" s="12">
        <v>0.66100000000000003</v>
      </c>
      <c r="S8" s="1"/>
    </row>
    <row r="9" spans="1:19" ht="20.399999999999999" x14ac:dyDescent="0.3">
      <c r="C9" s="6"/>
      <c r="D9" s="2">
        <v>1</v>
      </c>
      <c r="E9" s="2">
        <v>2</v>
      </c>
      <c r="F9" s="2">
        <v>3</v>
      </c>
      <c r="G9" s="2">
        <v>4</v>
      </c>
      <c r="M9" s="12">
        <v>2</v>
      </c>
      <c r="N9" s="12">
        <v>860</v>
      </c>
      <c r="O9" s="12">
        <v>390</v>
      </c>
      <c r="P9" s="12"/>
      <c r="Q9" s="12"/>
      <c r="R9" s="12">
        <v>0.626</v>
      </c>
      <c r="S9" s="1"/>
    </row>
    <row r="10" spans="1:19" ht="20.399999999999999" x14ac:dyDescent="0.3">
      <c r="C10" s="2" t="s">
        <v>5</v>
      </c>
      <c r="D10" s="2">
        <v>16.04</v>
      </c>
      <c r="E10" s="2"/>
      <c r="F10" s="2"/>
      <c r="G10" s="2"/>
      <c r="M10" s="12">
        <v>3</v>
      </c>
      <c r="N10" s="12">
        <v>854</v>
      </c>
      <c r="O10" s="12">
        <v>354</v>
      </c>
      <c r="P10" s="12">
        <v>1700</v>
      </c>
      <c r="Q10" s="12"/>
      <c r="R10" s="12">
        <v>0.70099999999999996</v>
      </c>
      <c r="S10" s="1"/>
    </row>
    <row r="11" spans="1:19" ht="20.399999999999999" x14ac:dyDescent="0.3">
      <c r="C11" s="2" t="s">
        <v>6</v>
      </c>
      <c r="D11" s="2">
        <v>1510</v>
      </c>
      <c r="E11" s="2"/>
      <c r="F11" s="2"/>
      <c r="G11" s="2"/>
      <c r="M11" s="12">
        <v>4</v>
      </c>
      <c r="N11" s="12">
        <v>860</v>
      </c>
      <c r="O11" s="12">
        <v>354</v>
      </c>
      <c r="P11" s="12">
        <v>1705</v>
      </c>
      <c r="Q11" s="12">
        <v>473</v>
      </c>
      <c r="R11" s="12">
        <v>0.65</v>
      </c>
      <c r="S11" s="1"/>
    </row>
    <row r="12" spans="1:19" ht="20.399999999999999" x14ac:dyDescent="0.3">
      <c r="C12" s="2" t="s">
        <v>3</v>
      </c>
      <c r="D12" s="2">
        <f>D11/D10</f>
        <v>94.139650872817967</v>
      </c>
      <c r="E12" s="2"/>
      <c r="F12" s="2"/>
      <c r="G12" s="2"/>
      <c r="M12" s="1"/>
      <c r="N12" s="1"/>
      <c r="O12" s="1"/>
      <c r="P12" s="1"/>
      <c r="Q12" s="1"/>
      <c r="R12" s="1"/>
      <c r="S12" s="1"/>
    </row>
    <row r="13" spans="1:19" ht="20.399999999999999" x14ac:dyDescent="0.3">
      <c r="C13" s="2" t="s">
        <v>4</v>
      </c>
      <c r="D13" s="2">
        <f>SUM(D12:G12)</f>
        <v>94.139650872817967</v>
      </c>
      <c r="E13" s="2"/>
      <c r="F13" s="2"/>
      <c r="G13" s="2"/>
      <c r="M13" s="1"/>
      <c r="N13" s="1">
        <f>970/15</f>
        <v>64.666666666666671</v>
      </c>
      <c r="O13" s="1"/>
      <c r="P13" s="1"/>
      <c r="Q13" s="1"/>
      <c r="R13" s="1"/>
      <c r="S13" s="1"/>
    </row>
    <row r="14" spans="1:19" ht="20.399999999999999" x14ac:dyDescent="0.3">
      <c r="C14" s="2"/>
      <c r="D14" s="2"/>
      <c r="E14" s="2"/>
      <c r="F14" s="2"/>
      <c r="G14" s="2"/>
    </row>
    <row r="15" spans="1:19" ht="20.399999999999999" x14ac:dyDescent="0.3">
      <c r="C15" s="5" t="s">
        <v>9</v>
      </c>
      <c r="D15" s="5"/>
      <c r="E15" s="5"/>
      <c r="F15" s="5"/>
      <c r="G15" s="5"/>
    </row>
    <row r="16" spans="1:19" ht="20.399999999999999" x14ac:dyDescent="0.3">
      <c r="C16" s="6" t="s">
        <v>1</v>
      </c>
      <c r="D16" s="6" t="s">
        <v>0</v>
      </c>
      <c r="E16" s="6"/>
      <c r="F16" s="6"/>
      <c r="G16" s="6"/>
    </row>
    <row r="17" spans="3:7" ht="20.399999999999999" x14ac:dyDescent="0.3">
      <c r="C17" s="6"/>
      <c r="D17" s="2">
        <v>1</v>
      </c>
      <c r="E17" s="2">
        <v>2</v>
      </c>
      <c r="F17" s="2">
        <v>3</v>
      </c>
      <c r="G17" s="2">
        <v>4</v>
      </c>
    </row>
    <row r="18" spans="3:7" ht="20.399999999999999" x14ac:dyDescent="0.3">
      <c r="C18" s="2" t="s">
        <v>5</v>
      </c>
      <c r="D18" s="2">
        <v>17.329999999999998</v>
      </c>
      <c r="E18" s="2">
        <v>17.48</v>
      </c>
      <c r="F18" s="2"/>
      <c r="G18" s="2"/>
    </row>
    <row r="19" spans="3:7" ht="20.399999999999999" x14ac:dyDescent="0.3">
      <c r="C19" s="2" t="s">
        <v>6</v>
      </c>
      <c r="D19" s="2">
        <v>799</v>
      </c>
      <c r="E19" s="2">
        <v>1002</v>
      </c>
      <c r="F19" s="2"/>
      <c r="G19" s="2"/>
    </row>
    <row r="20" spans="3:7" ht="20.399999999999999" x14ac:dyDescent="0.3">
      <c r="C20" s="2" t="s">
        <v>3</v>
      </c>
      <c r="D20" s="2">
        <f>D19/D18</f>
        <v>46.105020196191582</v>
      </c>
      <c r="E20" s="2">
        <f>E19/E18</f>
        <v>57.322654462242561</v>
      </c>
      <c r="F20" s="2"/>
      <c r="G20" s="2"/>
    </row>
    <row r="21" spans="3:7" ht="20.399999999999999" x14ac:dyDescent="0.3">
      <c r="C21" s="2" t="s">
        <v>4</v>
      </c>
      <c r="D21" s="2">
        <f>SUM(D20:G20)</f>
        <v>103.42767465843414</v>
      </c>
      <c r="E21" s="2"/>
      <c r="F21" s="2"/>
      <c r="G21" s="2"/>
    </row>
    <row r="22" spans="3:7" ht="20.399999999999999" x14ac:dyDescent="0.3">
      <c r="C22" s="5" t="s">
        <v>10</v>
      </c>
      <c r="D22" s="5"/>
      <c r="E22" s="5"/>
      <c r="F22" s="5"/>
      <c r="G22" s="5"/>
    </row>
    <row r="23" spans="3:7" ht="20.399999999999999" x14ac:dyDescent="0.3">
      <c r="C23" s="6" t="s">
        <v>1</v>
      </c>
      <c r="D23" s="6" t="s">
        <v>0</v>
      </c>
      <c r="E23" s="6"/>
      <c r="F23" s="6"/>
      <c r="G23" s="6"/>
    </row>
    <row r="24" spans="3:7" ht="20.399999999999999" x14ac:dyDescent="0.3">
      <c r="C24" s="6"/>
      <c r="D24" s="2">
        <v>1</v>
      </c>
      <c r="E24" s="2">
        <v>2</v>
      </c>
      <c r="F24" s="2">
        <v>3</v>
      </c>
      <c r="G24" s="2">
        <v>4</v>
      </c>
    </row>
    <row r="25" spans="3:7" ht="20.399999999999999" x14ac:dyDescent="0.3">
      <c r="C25" s="2" t="s">
        <v>5</v>
      </c>
      <c r="D25" s="2">
        <v>15</v>
      </c>
      <c r="E25" s="2">
        <v>15</v>
      </c>
      <c r="F25" s="2">
        <v>15</v>
      </c>
      <c r="G25" s="2"/>
    </row>
    <row r="26" spans="3:7" ht="20.399999999999999" x14ac:dyDescent="0.3">
      <c r="C26" s="2" t="s">
        <v>6</v>
      </c>
      <c r="D26" s="2">
        <v>737</v>
      </c>
      <c r="E26" s="2">
        <f>505+ 414</f>
        <v>919</v>
      </c>
      <c r="F26" s="2">
        <v>1580</v>
      </c>
      <c r="G26" s="2"/>
    </row>
    <row r="27" spans="3:7" ht="20.399999999999999" x14ac:dyDescent="0.3">
      <c r="C27" s="2" t="s">
        <v>3</v>
      </c>
      <c r="D27" s="2">
        <f>D26/D25</f>
        <v>49.133333333333333</v>
      </c>
      <c r="E27" s="2">
        <f>E26/E25</f>
        <v>61.266666666666666</v>
      </c>
      <c r="F27" s="2">
        <f>F26/F25</f>
        <v>105.33333333333333</v>
      </c>
      <c r="G27" s="2"/>
    </row>
    <row r="28" spans="3:7" ht="20.399999999999999" x14ac:dyDescent="0.3">
      <c r="C28" s="2" t="s">
        <v>4</v>
      </c>
      <c r="D28" s="2">
        <f>SUM(D27:G27)</f>
        <v>215.73333333333335</v>
      </c>
      <c r="E28" s="2"/>
      <c r="F28" s="2"/>
      <c r="G28" s="2"/>
    </row>
    <row r="29" spans="3:7" ht="20.399999999999999" x14ac:dyDescent="0.3">
      <c r="C29" s="5" t="s">
        <v>11</v>
      </c>
      <c r="D29" s="5"/>
      <c r="E29" s="5"/>
      <c r="F29" s="5"/>
      <c r="G29" s="5"/>
    </row>
    <row r="30" spans="3:7" ht="20.399999999999999" x14ac:dyDescent="0.7">
      <c r="C30" s="6" t="s">
        <v>1</v>
      </c>
      <c r="D30" s="7" t="s">
        <v>0</v>
      </c>
      <c r="E30" s="7"/>
      <c r="F30" s="7"/>
      <c r="G30" s="7"/>
    </row>
    <row r="31" spans="3:7" ht="20.399999999999999" x14ac:dyDescent="0.3">
      <c r="C31" s="6"/>
      <c r="D31" s="2">
        <v>1</v>
      </c>
      <c r="E31" s="2">
        <v>2</v>
      </c>
      <c r="F31" s="2">
        <v>3</v>
      </c>
      <c r="G31" s="2">
        <v>4</v>
      </c>
    </row>
    <row r="32" spans="3:7" ht="20.399999999999999" x14ac:dyDescent="0.3">
      <c r="C32" s="2" t="s">
        <v>5</v>
      </c>
      <c r="D32" s="2">
        <v>15</v>
      </c>
      <c r="E32" s="2">
        <v>15</v>
      </c>
      <c r="F32" s="2">
        <v>15</v>
      </c>
      <c r="G32" s="2">
        <v>15</v>
      </c>
    </row>
    <row r="33" spans="3:7" ht="20.399999999999999" x14ac:dyDescent="0.3">
      <c r="C33" s="2" t="s">
        <v>6</v>
      </c>
      <c r="D33" s="2">
        <v>890</v>
      </c>
      <c r="E33" s="2">
        <v>912</v>
      </c>
      <c r="F33" s="2">
        <v>1490</v>
      </c>
      <c r="G33" s="2">
        <v>890</v>
      </c>
    </row>
    <row r="34" spans="3:7" ht="20.399999999999999" x14ac:dyDescent="0.3">
      <c r="C34" s="2" t="s">
        <v>3</v>
      </c>
      <c r="D34" s="2">
        <f>D33/D32</f>
        <v>59.333333333333336</v>
      </c>
      <c r="E34" s="2">
        <f t="shared" ref="E34:G34" si="0">E33/E32</f>
        <v>60.8</v>
      </c>
      <c r="F34" s="2">
        <f t="shared" si="0"/>
        <v>99.333333333333329</v>
      </c>
      <c r="G34" s="2">
        <f t="shared" si="0"/>
        <v>59.333333333333336</v>
      </c>
    </row>
    <row r="35" spans="3:7" ht="20.399999999999999" x14ac:dyDescent="0.7">
      <c r="C35" s="2" t="s">
        <v>4</v>
      </c>
      <c r="D35" s="4">
        <f>SUM(D34:G34)</f>
        <v>278.79999999999995</v>
      </c>
      <c r="E35" s="4"/>
      <c r="F35" s="4"/>
      <c r="G35" s="4"/>
    </row>
    <row r="39" spans="3:7" ht="20.399999999999999" x14ac:dyDescent="0.7">
      <c r="C39" s="8" t="s">
        <v>12</v>
      </c>
      <c r="D39" s="8"/>
      <c r="E39" s="8"/>
      <c r="F39" s="8"/>
      <c r="G39" s="8"/>
    </row>
    <row r="40" spans="3:7" ht="20.399999999999999" x14ac:dyDescent="0.3">
      <c r="C40" s="5" t="s">
        <v>8</v>
      </c>
      <c r="D40" s="5"/>
      <c r="E40" s="5"/>
      <c r="F40" s="5"/>
      <c r="G40" s="5"/>
    </row>
    <row r="41" spans="3:7" ht="20.399999999999999" x14ac:dyDescent="0.3">
      <c r="C41" s="6" t="s">
        <v>1</v>
      </c>
      <c r="D41" s="6" t="s">
        <v>7</v>
      </c>
      <c r="E41" s="6"/>
      <c r="F41" s="6"/>
      <c r="G41" s="6"/>
    </row>
    <row r="42" spans="3:7" ht="20.399999999999999" x14ac:dyDescent="0.3">
      <c r="C42" s="6"/>
      <c r="D42" s="2">
        <v>1</v>
      </c>
      <c r="E42" s="2">
        <v>2</v>
      </c>
      <c r="F42" s="2">
        <v>3</v>
      </c>
      <c r="G42" s="2">
        <v>4</v>
      </c>
    </row>
    <row r="43" spans="3:7" ht="20.399999999999999" x14ac:dyDescent="0.3">
      <c r="C43" s="2" t="s">
        <v>5</v>
      </c>
      <c r="D43" s="9"/>
      <c r="E43" s="9"/>
      <c r="F43" s="9"/>
      <c r="G43" s="9"/>
    </row>
    <row r="44" spans="3:7" ht="20.399999999999999" x14ac:dyDescent="0.3">
      <c r="C44" s="2" t="s">
        <v>6</v>
      </c>
      <c r="D44" s="9"/>
      <c r="E44" s="9"/>
      <c r="F44" s="9"/>
      <c r="G44" s="9"/>
    </row>
    <row r="45" spans="3:7" ht="20.399999999999999" x14ac:dyDescent="0.3">
      <c r="C45" s="2" t="s">
        <v>3</v>
      </c>
      <c r="D45" s="9"/>
      <c r="E45" s="9"/>
      <c r="F45" s="9"/>
      <c r="G45" s="9"/>
    </row>
    <row r="46" spans="3:7" ht="20.399999999999999" x14ac:dyDescent="0.3">
      <c r="C46" s="2" t="s">
        <v>4</v>
      </c>
      <c r="D46" s="2"/>
      <c r="E46" s="2"/>
      <c r="F46" s="2"/>
      <c r="G46" s="2"/>
    </row>
    <row r="47" spans="3:7" ht="20.399999999999999" x14ac:dyDescent="0.3">
      <c r="C47" s="2"/>
      <c r="D47" s="2"/>
      <c r="E47" s="2"/>
      <c r="F47" s="2"/>
      <c r="G47" s="2"/>
    </row>
    <row r="48" spans="3:7" ht="20.399999999999999" x14ac:dyDescent="0.3">
      <c r="C48" s="5" t="s">
        <v>9</v>
      </c>
      <c r="D48" s="5"/>
      <c r="E48" s="5"/>
      <c r="F48" s="5"/>
      <c r="G48" s="5"/>
    </row>
    <row r="49" spans="3:7" ht="20.399999999999999" x14ac:dyDescent="0.3">
      <c r="C49" s="6" t="s">
        <v>1</v>
      </c>
      <c r="D49" s="6" t="s">
        <v>0</v>
      </c>
      <c r="E49" s="6"/>
      <c r="F49" s="6"/>
      <c r="G49" s="6"/>
    </row>
    <row r="50" spans="3:7" ht="20.399999999999999" x14ac:dyDescent="0.3">
      <c r="C50" s="6"/>
      <c r="D50" s="2">
        <v>1</v>
      </c>
      <c r="E50" s="2">
        <v>2</v>
      </c>
      <c r="F50" s="2">
        <v>3</v>
      </c>
      <c r="G50" s="2">
        <v>4</v>
      </c>
    </row>
    <row r="51" spans="3:7" ht="20.399999999999999" x14ac:dyDescent="0.3">
      <c r="C51" s="2" t="s">
        <v>5</v>
      </c>
      <c r="D51" s="2"/>
      <c r="E51" s="2"/>
      <c r="F51" s="2"/>
      <c r="G51" s="2"/>
    </row>
    <row r="52" spans="3:7" ht="20.399999999999999" x14ac:dyDescent="0.3">
      <c r="C52" s="2" t="s">
        <v>6</v>
      </c>
      <c r="D52" s="2"/>
      <c r="E52" s="2"/>
      <c r="F52" s="2"/>
      <c r="G52" s="2"/>
    </row>
    <row r="53" spans="3:7" ht="20.399999999999999" x14ac:dyDescent="0.3">
      <c r="C53" s="2" t="s">
        <v>3</v>
      </c>
      <c r="D53" s="2"/>
      <c r="E53" s="2"/>
      <c r="F53" s="2"/>
      <c r="G53" s="2"/>
    </row>
    <row r="54" spans="3:7" ht="20.399999999999999" x14ac:dyDescent="0.3">
      <c r="C54" s="2" t="s">
        <v>4</v>
      </c>
      <c r="D54" s="2"/>
      <c r="E54" s="2"/>
      <c r="F54" s="2"/>
      <c r="G54" s="2"/>
    </row>
    <row r="55" spans="3:7" ht="20.399999999999999" x14ac:dyDescent="0.3">
      <c r="C55" s="5" t="s">
        <v>10</v>
      </c>
      <c r="D55" s="5"/>
      <c r="E55" s="5"/>
      <c r="F55" s="5"/>
      <c r="G55" s="5"/>
    </row>
    <row r="56" spans="3:7" ht="20.399999999999999" x14ac:dyDescent="0.3">
      <c r="C56" s="6" t="s">
        <v>1</v>
      </c>
      <c r="D56" s="6" t="s">
        <v>0</v>
      </c>
      <c r="E56" s="6"/>
      <c r="F56" s="6"/>
      <c r="G56" s="6"/>
    </row>
    <row r="57" spans="3:7" ht="20.399999999999999" x14ac:dyDescent="0.3">
      <c r="C57" s="6"/>
      <c r="D57" s="2">
        <v>1</v>
      </c>
      <c r="E57" s="2">
        <v>2</v>
      </c>
      <c r="F57" s="2">
        <v>3</v>
      </c>
      <c r="G57" s="2">
        <v>4</v>
      </c>
    </row>
    <row r="58" spans="3:7" ht="20.399999999999999" x14ac:dyDescent="0.3">
      <c r="C58" s="2" t="s">
        <v>5</v>
      </c>
      <c r="D58" s="2"/>
      <c r="E58" s="2"/>
      <c r="F58" s="2"/>
      <c r="G58" s="2"/>
    </row>
    <row r="59" spans="3:7" ht="20.399999999999999" x14ac:dyDescent="0.3">
      <c r="C59" s="2" t="s">
        <v>6</v>
      </c>
      <c r="D59" s="2"/>
      <c r="E59" s="2"/>
      <c r="F59" s="2"/>
      <c r="G59" s="2"/>
    </row>
    <row r="60" spans="3:7" ht="20.399999999999999" x14ac:dyDescent="0.3">
      <c r="C60" s="2" t="s">
        <v>3</v>
      </c>
      <c r="D60" s="2"/>
      <c r="E60" s="2"/>
      <c r="F60" s="2"/>
      <c r="G60" s="2"/>
    </row>
    <row r="61" spans="3:7" ht="20.399999999999999" x14ac:dyDescent="0.3">
      <c r="C61" s="2" t="s">
        <v>4</v>
      </c>
      <c r="D61" s="2"/>
      <c r="E61" s="2"/>
      <c r="F61" s="2"/>
      <c r="G61" s="2"/>
    </row>
    <row r="62" spans="3:7" ht="20.399999999999999" x14ac:dyDescent="0.3">
      <c r="C62" s="5" t="s">
        <v>11</v>
      </c>
      <c r="D62" s="5"/>
      <c r="E62" s="5"/>
      <c r="F62" s="5"/>
      <c r="G62" s="5"/>
    </row>
    <row r="63" spans="3:7" ht="20.399999999999999" x14ac:dyDescent="0.7">
      <c r="C63" s="6" t="s">
        <v>1</v>
      </c>
      <c r="D63" s="7" t="s">
        <v>0</v>
      </c>
      <c r="E63" s="7"/>
      <c r="F63" s="7"/>
      <c r="G63" s="7"/>
    </row>
    <row r="64" spans="3:7" ht="20.399999999999999" x14ac:dyDescent="0.3">
      <c r="C64" s="6"/>
      <c r="D64" s="2">
        <v>1</v>
      </c>
      <c r="E64" s="2">
        <v>2</v>
      </c>
      <c r="F64" s="2">
        <v>3</v>
      </c>
      <c r="G64" s="2">
        <v>4</v>
      </c>
    </row>
    <row r="65" spans="3:7" ht="20.399999999999999" x14ac:dyDescent="0.7">
      <c r="C65" s="2" t="s">
        <v>5</v>
      </c>
      <c r="D65" s="3"/>
      <c r="E65" s="3"/>
      <c r="F65" s="3"/>
      <c r="G65" s="3"/>
    </row>
    <row r="66" spans="3:7" ht="20.399999999999999" x14ac:dyDescent="0.7">
      <c r="C66" s="2" t="s">
        <v>6</v>
      </c>
      <c r="D66" s="3"/>
      <c r="E66" s="3"/>
      <c r="F66" s="3"/>
      <c r="G66" s="3"/>
    </row>
    <row r="67" spans="3:7" ht="20.399999999999999" x14ac:dyDescent="0.7">
      <c r="C67" s="2" t="s">
        <v>3</v>
      </c>
      <c r="D67" s="3"/>
      <c r="E67" s="3"/>
      <c r="F67" s="3"/>
      <c r="G67" s="3"/>
    </row>
    <row r="68" spans="3:7" ht="20.399999999999999" x14ac:dyDescent="0.7">
      <c r="C68" s="2" t="s">
        <v>4</v>
      </c>
      <c r="D68" s="3"/>
      <c r="E68" s="3"/>
      <c r="F68" s="3"/>
      <c r="G68" s="3"/>
    </row>
  </sheetData>
  <mergeCells count="27">
    <mergeCell ref="N6:R6"/>
    <mergeCell ref="C39:G39"/>
    <mergeCell ref="C40:G40"/>
    <mergeCell ref="C6:G6"/>
    <mergeCell ref="D8:G8"/>
    <mergeCell ref="D16:G16"/>
    <mergeCell ref="D23:G23"/>
    <mergeCell ref="C7:G7"/>
    <mergeCell ref="C8:C9"/>
    <mergeCell ref="C16:C17"/>
    <mergeCell ref="C23:C24"/>
    <mergeCell ref="C30:C31"/>
    <mergeCell ref="C15:G15"/>
    <mergeCell ref="C22:G22"/>
    <mergeCell ref="C29:G29"/>
    <mergeCell ref="D30:G30"/>
    <mergeCell ref="C41:C42"/>
    <mergeCell ref="D41:G41"/>
    <mergeCell ref="C48:G48"/>
    <mergeCell ref="C49:C50"/>
    <mergeCell ref="D49:G49"/>
    <mergeCell ref="C55:G55"/>
    <mergeCell ref="C56:C57"/>
    <mergeCell ref="D56:G56"/>
    <mergeCell ref="C62:G62"/>
    <mergeCell ref="C63:C64"/>
    <mergeCell ref="D63:G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3167-8F3C-4573-BB2C-ACD49470936E}">
  <dimension ref="B3:F35"/>
  <sheetViews>
    <sheetView topLeftCell="A4" zoomScale="70" zoomScaleNormal="70" workbookViewId="0">
      <selection activeCell="H12" sqref="H12"/>
    </sheetView>
  </sheetViews>
  <sheetFormatPr defaultRowHeight="14.4" x14ac:dyDescent="0.3"/>
  <cols>
    <col min="2" max="2" width="22.5546875" customWidth="1"/>
    <col min="3" max="6" width="15.44140625" customWidth="1"/>
  </cols>
  <sheetData>
    <row r="3" spans="2:6" ht="20.399999999999999" x14ac:dyDescent="0.7">
      <c r="B3" s="8" t="s">
        <v>14</v>
      </c>
      <c r="C3" s="8"/>
      <c r="D3" s="8"/>
      <c r="E3" s="8"/>
      <c r="F3" s="8"/>
    </row>
    <row r="4" spans="2:6" ht="20.399999999999999" x14ac:dyDescent="0.3">
      <c r="B4" s="5" t="s">
        <v>15</v>
      </c>
      <c r="C4" s="5"/>
      <c r="D4" s="5"/>
      <c r="E4" s="5"/>
      <c r="F4" s="5"/>
    </row>
    <row r="5" spans="2:6" ht="20.399999999999999" x14ac:dyDescent="0.3">
      <c r="B5" s="6" t="s">
        <v>1</v>
      </c>
      <c r="C5" s="6" t="s">
        <v>7</v>
      </c>
      <c r="D5" s="6"/>
      <c r="E5" s="6"/>
      <c r="F5" s="6"/>
    </row>
    <row r="6" spans="2:6" ht="20.399999999999999" x14ac:dyDescent="0.3">
      <c r="B6" s="6"/>
      <c r="C6" s="2">
        <v>1</v>
      </c>
      <c r="D6" s="2">
        <v>2</v>
      </c>
      <c r="E6" s="2">
        <v>3</v>
      </c>
      <c r="F6" s="2">
        <v>4</v>
      </c>
    </row>
    <row r="7" spans="2:6" ht="20.399999999999999" x14ac:dyDescent="0.3">
      <c r="B7" s="2" t="s">
        <v>5</v>
      </c>
      <c r="C7" s="2">
        <v>15</v>
      </c>
      <c r="D7" s="2">
        <v>15</v>
      </c>
      <c r="E7" s="2">
        <v>15</v>
      </c>
      <c r="F7" s="2">
        <v>15</v>
      </c>
    </row>
    <row r="8" spans="2:6" ht="20.399999999999999" x14ac:dyDescent="0.3">
      <c r="B8" s="2" t="s">
        <v>6</v>
      </c>
      <c r="C8" s="2">
        <v>1220</v>
      </c>
      <c r="D8" s="2">
        <v>340</v>
      </c>
      <c r="E8" s="2">
        <v>910</v>
      </c>
      <c r="F8" s="2">
        <v>790</v>
      </c>
    </row>
    <row r="9" spans="2:6" ht="20.399999999999999" x14ac:dyDescent="0.3">
      <c r="B9" s="2" t="s">
        <v>3</v>
      </c>
      <c r="C9" s="2"/>
      <c r="D9" s="2"/>
      <c r="E9" s="2"/>
      <c r="F9" s="2"/>
    </row>
    <row r="10" spans="2:6" ht="20.399999999999999" x14ac:dyDescent="0.3">
      <c r="B10" s="2" t="s">
        <v>4</v>
      </c>
      <c r="C10" s="2"/>
      <c r="D10" s="2"/>
      <c r="E10" s="2"/>
      <c r="F10" s="2"/>
    </row>
    <row r="11" spans="2:6" ht="20.399999999999999" x14ac:dyDescent="0.3">
      <c r="B11" s="2" t="s">
        <v>13</v>
      </c>
      <c r="C11" s="2">
        <v>0.66400000000000003</v>
      </c>
      <c r="D11" s="2">
        <v>0.65</v>
      </c>
      <c r="E11" s="2">
        <v>0.61199999999999999</v>
      </c>
      <c r="F11" s="2">
        <v>0.58499999999999996</v>
      </c>
    </row>
    <row r="12" spans="2:6" ht="20.399999999999999" x14ac:dyDescent="0.3">
      <c r="B12" s="5" t="s">
        <v>16</v>
      </c>
      <c r="C12" s="5"/>
      <c r="D12" s="5"/>
      <c r="E12" s="5"/>
      <c r="F12" s="5"/>
    </row>
    <row r="13" spans="2:6" ht="20.399999999999999" x14ac:dyDescent="0.3">
      <c r="B13" s="6" t="s">
        <v>1</v>
      </c>
      <c r="C13" s="6" t="s">
        <v>0</v>
      </c>
      <c r="D13" s="6"/>
      <c r="E13" s="6"/>
      <c r="F13" s="6"/>
    </row>
    <row r="14" spans="2:6" ht="20.399999999999999" x14ac:dyDescent="0.3">
      <c r="B14" s="6"/>
      <c r="C14" s="2">
        <v>1</v>
      </c>
      <c r="D14" s="2">
        <v>2</v>
      </c>
      <c r="E14" s="2">
        <v>3</v>
      </c>
      <c r="F14" s="2">
        <v>4</v>
      </c>
    </row>
    <row r="15" spans="2:6" ht="20.399999999999999" x14ac:dyDescent="0.3">
      <c r="B15" s="2" t="s">
        <v>5</v>
      </c>
      <c r="C15" s="2"/>
      <c r="D15" s="2"/>
      <c r="E15" s="2"/>
      <c r="F15" s="2"/>
    </row>
    <row r="16" spans="2:6" ht="20.399999999999999" x14ac:dyDescent="0.3">
      <c r="B16" s="2" t="s">
        <v>6</v>
      </c>
      <c r="C16" s="2"/>
      <c r="D16" s="2"/>
      <c r="E16" s="2"/>
      <c r="F16" s="2"/>
    </row>
    <row r="17" spans="2:6" ht="20.399999999999999" x14ac:dyDescent="0.3">
      <c r="B17" s="2" t="s">
        <v>3</v>
      </c>
      <c r="C17" s="2"/>
      <c r="D17" s="2"/>
      <c r="E17" s="2"/>
      <c r="F17" s="2"/>
    </row>
    <row r="18" spans="2:6" ht="20.399999999999999" x14ac:dyDescent="0.3">
      <c r="B18" s="2" t="s">
        <v>4</v>
      </c>
      <c r="C18" s="2"/>
      <c r="D18" s="2"/>
      <c r="E18" s="2"/>
      <c r="F18" s="2"/>
    </row>
    <row r="19" spans="2:6" ht="20.399999999999999" x14ac:dyDescent="0.3">
      <c r="B19" s="10" t="s">
        <v>13</v>
      </c>
      <c r="C19" s="2"/>
      <c r="D19" s="2"/>
      <c r="E19" s="2"/>
      <c r="F19" s="2"/>
    </row>
    <row r="20" spans="2:6" ht="20.399999999999999" x14ac:dyDescent="0.3">
      <c r="B20" s="5" t="s">
        <v>17</v>
      </c>
      <c r="C20" s="5"/>
      <c r="D20" s="5"/>
      <c r="E20" s="5"/>
      <c r="F20" s="5"/>
    </row>
    <row r="21" spans="2:6" ht="20.399999999999999" x14ac:dyDescent="0.3">
      <c r="B21" s="6" t="s">
        <v>1</v>
      </c>
      <c r="C21" s="6" t="s">
        <v>0</v>
      </c>
      <c r="D21" s="6"/>
      <c r="E21" s="6"/>
      <c r="F21" s="6"/>
    </row>
    <row r="22" spans="2:6" ht="20.399999999999999" x14ac:dyDescent="0.3">
      <c r="B22" s="6"/>
      <c r="C22" s="2">
        <v>1</v>
      </c>
      <c r="D22" s="2">
        <v>2</v>
      </c>
      <c r="E22" s="2">
        <v>3</v>
      </c>
      <c r="F22" s="2">
        <v>4</v>
      </c>
    </row>
    <row r="23" spans="2:6" ht="20.399999999999999" x14ac:dyDescent="0.3">
      <c r="B23" s="2" t="s">
        <v>5</v>
      </c>
      <c r="C23" s="2"/>
      <c r="D23" s="2"/>
      <c r="E23" s="2"/>
      <c r="F23" s="2"/>
    </row>
    <row r="24" spans="2:6" ht="20.399999999999999" x14ac:dyDescent="0.3">
      <c r="B24" s="2" t="s">
        <v>6</v>
      </c>
      <c r="C24" s="2"/>
      <c r="D24" s="2"/>
      <c r="E24" s="2"/>
      <c r="F24" s="2"/>
    </row>
    <row r="25" spans="2:6" ht="20.399999999999999" x14ac:dyDescent="0.3">
      <c r="B25" s="2" t="s">
        <v>3</v>
      </c>
      <c r="C25" s="2"/>
      <c r="D25" s="2"/>
      <c r="E25" s="2"/>
      <c r="F25" s="2"/>
    </row>
    <row r="26" spans="2:6" ht="20.399999999999999" x14ac:dyDescent="0.3">
      <c r="B26" s="2" t="s">
        <v>4</v>
      </c>
      <c r="C26" s="2"/>
      <c r="D26" s="2"/>
      <c r="E26" s="2"/>
      <c r="F26" s="2"/>
    </row>
    <row r="27" spans="2:6" ht="20.399999999999999" x14ac:dyDescent="0.3">
      <c r="B27" s="10" t="s">
        <v>13</v>
      </c>
      <c r="C27" s="2"/>
      <c r="D27" s="2"/>
      <c r="E27" s="2"/>
      <c r="F27" s="2"/>
    </row>
    <row r="28" spans="2:6" ht="20.399999999999999" x14ac:dyDescent="0.3">
      <c r="B28" s="5" t="s">
        <v>18</v>
      </c>
      <c r="C28" s="5"/>
      <c r="D28" s="5"/>
      <c r="E28" s="5"/>
      <c r="F28" s="5"/>
    </row>
    <row r="29" spans="2:6" ht="20.399999999999999" x14ac:dyDescent="0.7">
      <c r="B29" s="6" t="s">
        <v>1</v>
      </c>
      <c r="C29" s="7" t="s">
        <v>0</v>
      </c>
      <c r="D29" s="7"/>
      <c r="E29" s="7"/>
      <c r="F29" s="7"/>
    </row>
    <row r="30" spans="2:6" ht="20.399999999999999" x14ac:dyDescent="0.3">
      <c r="B30" s="6"/>
      <c r="C30" s="2">
        <v>1</v>
      </c>
      <c r="D30" s="2">
        <v>2</v>
      </c>
      <c r="E30" s="2">
        <v>3</v>
      </c>
      <c r="F30" s="2">
        <v>4</v>
      </c>
    </row>
    <row r="31" spans="2:6" ht="20.399999999999999" x14ac:dyDescent="0.3">
      <c r="B31" s="2" t="s">
        <v>5</v>
      </c>
      <c r="C31" s="2"/>
      <c r="D31" s="2"/>
      <c r="E31" s="2"/>
      <c r="F31" s="2"/>
    </row>
    <row r="32" spans="2:6" ht="20.399999999999999" x14ac:dyDescent="0.3">
      <c r="B32" s="2" t="s">
        <v>6</v>
      </c>
      <c r="C32" s="2"/>
      <c r="D32" s="2"/>
      <c r="E32" s="2"/>
      <c r="F32" s="2"/>
    </row>
    <row r="33" spans="2:6" ht="20.399999999999999" x14ac:dyDescent="0.3">
      <c r="B33" s="2" t="s">
        <v>3</v>
      </c>
      <c r="C33" s="2"/>
      <c r="D33" s="2"/>
      <c r="E33" s="2"/>
      <c r="F33" s="2"/>
    </row>
    <row r="34" spans="2:6" ht="20.399999999999999" x14ac:dyDescent="0.7">
      <c r="B34" s="2" t="s">
        <v>4</v>
      </c>
      <c r="C34" s="4"/>
      <c r="D34" s="4"/>
      <c r="E34" s="4"/>
      <c r="F34" s="4"/>
    </row>
    <row r="35" spans="2:6" ht="20.399999999999999" x14ac:dyDescent="0.3">
      <c r="B35" s="11" t="s">
        <v>13</v>
      </c>
      <c r="C35" s="9"/>
      <c r="D35" s="9"/>
      <c r="E35" s="9"/>
      <c r="F35" s="9"/>
    </row>
  </sheetData>
  <mergeCells count="13">
    <mergeCell ref="B20:F20"/>
    <mergeCell ref="B21:B22"/>
    <mergeCell ref="C21:F21"/>
    <mergeCell ref="B28:F28"/>
    <mergeCell ref="B29:B30"/>
    <mergeCell ref="C29:F29"/>
    <mergeCell ref="B3:F3"/>
    <mergeCell ref="B4:F4"/>
    <mergeCell ref="B5:B6"/>
    <mergeCell ref="C5:F5"/>
    <mergeCell ref="B12:F12"/>
    <mergeCell ref="B13:B14"/>
    <mergeCell ref="C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Kontrol ANN</vt:lpstr>
      <vt:lpstr>Open 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2026-06-24T18:33:57Z</dcterms:created>
  <dcterms:modified xsi:type="dcterms:W3CDTF">2026-06-25T18:42:57Z</dcterms:modified>
</cp:coreProperties>
</file>