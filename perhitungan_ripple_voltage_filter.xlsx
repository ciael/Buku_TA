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Skema_1" sheetId="2" state="visible" r:id="rId2"/>
    <sheet name="Skema_2" sheetId="3" state="visible" r:id="rId3"/>
    <sheet name="Sweep_Induktor" sheetId="4" state="visible" r:id="rId4"/>
    <sheet name="Input_Rum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FFFFFF"/>
    </font>
    <font>
      <b val="1"/>
      <color rgb="001F4E78"/>
    </font>
    <font>
      <b val="1"/>
      <color rgb="001F4E78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2" borderId="1" pivotButton="0" quotePrefix="0" xfId="0"/>
    <xf numFmtId="165" fontId="0" fillId="0" borderId="1" pivotButton="0" quotePrefix="0" xfId="0"/>
    <xf numFmtId="0" fontId="2" fillId="3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Ripple vs Duty Cycle - Skema 1</a:t>
            </a:r>
          </a:p>
        </rich>
      </tx>
    </title>
    <plotArea>
      <lineChart>
        <grouping val="standard"/>
        <ser>
          <idx val="0"/>
          <order val="0"/>
          <tx>
            <strRef>
              <f>'Skema_1'!B3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'Skema_1'!$A$4:$A$12</f>
            </numRef>
          </cat>
          <val>
            <numRef>
              <f>'Skema_1'!$B$4:$B$12</f>
            </numRef>
          </val>
        </ser>
        <ser>
          <idx val="1"/>
          <order val="1"/>
          <tx>
            <strRef>
              <f>'Skema_1'!C3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'Skema_1'!$A$4:$A$12</f>
            </numRef>
          </cat>
          <val>
            <numRef>
              <f>'Skema_1'!$C$4:$C$12</f>
            </numRef>
          </val>
        </ser>
        <ser>
          <idx val="2"/>
          <order val="2"/>
          <tx>
            <strRef>
              <f>'Skema_1'!D3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'Skema_1'!$A$4:$A$12</f>
            </numRef>
          </cat>
          <val>
            <numRef>
              <f>'Skema_1'!$D$4:$D$12</f>
            </numRef>
          </val>
        </ser>
        <ser>
          <idx val="3"/>
          <order val="3"/>
          <tx>
            <strRef>
              <f>'Skema_1'!E3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'Skema_1'!$A$4:$A$12</f>
            </numRef>
          </cat>
          <val>
            <numRef>
              <f>'Skema_1'!$E$4:$E$12</f>
            </numRef>
          </val>
        </ser>
        <ser>
          <idx val="4"/>
          <order val="4"/>
          <tx>
            <strRef>
              <f>'Skema_1'!F3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'Skema_1'!$A$4:$A$12</f>
            </numRef>
          </cat>
          <val>
            <numRef>
              <f>'Skema_1'!$F$4:$F$12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Duty cycle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 ripple (V)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Ripple vs Duty Cycle - Skema 2</a:t>
            </a:r>
          </a:p>
        </rich>
      </tx>
    </title>
    <plotArea>
      <lineChart>
        <grouping val="standard"/>
        <ser>
          <idx val="0"/>
          <order val="0"/>
          <tx>
            <strRef>
              <f>'Skema_2'!B3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'Skema_2'!$A$4:$A$12</f>
            </numRef>
          </cat>
          <val>
            <numRef>
              <f>'Skema_2'!$B$4:$B$12</f>
            </numRef>
          </val>
        </ser>
        <ser>
          <idx val="1"/>
          <order val="1"/>
          <tx>
            <strRef>
              <f>'Skema_2'!C3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'Skema_2'!$A$4:$A$12</f>
            </numRef>
          </cat>
          <val>
            <numRef>
              <f>'Skema_2'!$C$4:$C$12</f>
            </numRef>
          </val>
        </ser>
        <ser>
          <idx val="2"/>
          <order val="2"/>
          <tx>
            <strRef>
              <f>'Skema_2'!D3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'Skema_2'!$A$4:$A$12</f>
            </numRef>
          </cat>
          <val>
            <numRef>
              <f>'Skema_2'!$D$4:$D$12</f>
            </numRef>
          </val>
        </ser>
        <ser>
          <idx val="3"/>
          <order val="3"/>
          <tx>
            <strRef>
              <f>'Skema_2'!E3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'Skema_2'!$A$4:$A$12</f>
            </numRef>
          </cat>
          <val>
            <numRef>
              <f>'Skema_2'!$E$4:$E$12</f>
            </numRef>
          </val>
        </ser>
        <ser>
          <idx val="4"/>
          <order val="4"/>
          <tx>
            <strRef>
              <f>'Skema_2'!F3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'Skema_2'!$A$4:$A$12</f>
            </numRef>
          </cat>
          <val>
            <numRef>
              <f>'Skema_2'!$F$4:$F$12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Duty cycle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 ripple (V)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RingkasanD05" displayName="TabelRingkasanD05" ref="A11:F21" headerRowCount="1">
  <autoFilter ref="A11:F21"/>
  <tableColumns count="6">
    <tableColumn id="1" name="Skema"/>
    <tableColumn id="2" name="Lo (mH)"/>
    <tableColumn id="3" name="Co (uF)"/>
    <tableColumn id="4" name="fs (kHz)"/>
    <tableColumn id="5" name="D"/>
    <tableColumn id="6" name="Vo ripple (V)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elSkema1" displayName="TabelSkema1" ref="A3:F12" headerRowCount="1">
  <autoFilter ref="A3:F12"/>
  <tableColumns count="6">
    <tableColumn id="1" name="Duty Cycle"/>
    <tableColumn id="2" name="5 kHz"/>
    <tableColumn id="3" name="10 kHz"/>
    <tableColumn id="4" name="15 kHz"/>
    <tableColumn id="5" name="20 kHz"/>
    <tableColumn id="6" name="25 kHz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abelSkema2" displayName="TabelSkema2" ref="A3:F12" headerRowCount="1">
  <autoFilter ref="A3:F12"/>
  <tableColumns count="6">
    <tableColumn id="1" name="Duty Cycle"/>
    <tableColumn id="2" name="5 kHz"/>
    <tableColumn id="3" name="10 kHz"/>
    <tableColumn id="4" name="15 kHz"/>
    <tableColumn id="5" name="20 kHz"/>
    <tableColumn id="6" name="25 kHz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abelSweepInduktor" displayName="TabelSweepInduktor" ref="A3:G11" headerRowCount="1">
  <autoFilter ref="A3:G11"/>
  <tableColumns count="7">
    <tableColumn id="1" name="Co (uF)"/>
    <tableColumn id="2" name="Lo (mH)"/>
    <tableColumn id="3" name="5 kHz"/>
    <tableColumn id="4" name="10 kHz"/>
    <tableColumn id="5" name="15 kHz"/>
    <tableColumn id="6" name="20 kHz"/>
    <tableColumn id="7" name="25 kHz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68" customWidth="1" min="8" max="8"/>
  </cols>
  <sheetData>
    <row r="1">
      <c r="A1" s="1" t="inlineStr">
        <is>
          <t>Perhitungan Output Ripple Voltage Filter</t>
        </is>
      </c>
    </row>
    <row r="3">
      <c r="A3" s="2" t="inlineStr">
        <is>
          <t>Rumus</t>
        </is>
      </c>
      <c r="B3" t="inlineStr">
        <is>
          <t>Vo,ripple = Vll*D*(1-D)/(12*fs^2*Lo*Co)*SQRT((1+2D-2D^2)/5)</t>
        </is>
      </c>
    </row>
    <row r="5">
      <c r="A5" t="inlineStr">
        <is>
          <t>Vll (V)</t>
        </is>
      </c>
      <c r="B5" t="n">
        <v>225</v>
      </c>
    </row>
    <row r="6">
      <c r="A6" t="inlineStr">
        <is>
          <t>Frekuensi switching</t>
        </is>
      </c>
      <c r="B6" t="inlineStr">
        <is>
          <t>5 kHz, 10 kHz, 15 kHz, 20 kHz, 25 kHz</t>
        </is>
      </c>
    </row>
    <row r="7">
      <c r="A7" t="inlineStr">
        <is>
          <t>Duty cycle</t>
        </is>
      </c>
      <c r="B7" t="inlineStr">
        <is>
          <t>0.1 sampai 0.9</t>
        </is>
      </c>
    </row>
    <row r="8">
      <c r="A8" t="inlineStr">
        <is>
          <t>Catatan satuan</t>
        </is>
      </c>
      <c r="B8" t="inlineStr">
        <is>
          <t>fs dalam Hz, Lo dalam H, Co dalam F, hasil Vo,ripple dalam V</t>
        </is>
      </c>
    </row>
    <row r="11">
      <c r="A11" s="3" t="inlineStr">
        <is>
          <t>Skema</t>
        </is>
      </c>
      <c r="B11" s="3" t="inlineStr">
        <is>
          <t>Lo (mH)</t>
        </is>
      </c>
      <c r="C11" s="3" t="inlineStr">
        <is>
          <t>Co (uF)</t>
        </is>
      </c>
      <c r="D11" s="3" t="inlineStr">
        <is>
          <t>fs (kHz)</t>
        </is>
      </c>
      <c r="E11" s="3" t="inlineStr">
        <is>
          <t>D</t>
        </is>
      </c>
      <c r="F11" s="3" t="inlineStr">
        <is>
          <t>Vo ripple (V)</t>
        </is>
      </c>
      <c r="H11" s="4" t="inlineStr">
        <is>
          <t>Penjelasan Singkat</t>
        </is>
      </c>
    </row>
    <row r="12">
      <c r="A12" s="5" t="inlineStr">
        <is>
          <t>Skema 1</t>
        </is>
      </c>
      <c r="B12" s="5" t="n">
        <v>10</v>
      </c>
      <c r="C12" s="5" t="n">
        <v>250</v>
      </c>
      <c r="D12" s="5" t="n">
        <v>5</v>
      </c>
      <c r="E12" s="5" t="n">
        <v>0.5</v>
      </c>
      <c r="F12" s="6" t="n">
        <v>0.04107919181288745</v>
      </c>
      <c r="H12" s="7" t="inlineStr">
        <is>
          <t>Nilai ripple berbanding terbalik dengan fs^2. Jika frekuensi naik 2 kali, ripple turun kira-kira 4 kali.</t>
        </is>
      </c>
    </row>
    <row r="13">
      <c r="A13" s="5" t="inlineStr">
        <is>
          <t>Skema 1</t>
        </is>
      </c>
      <c r="B13" s="5" t="n">
        <v>10</v>
      </c>
      <c r="C13" s="5" t="n">
        <v>250</v>
      </c>
      <c r="D13" s="5" t="n">
        <v>10</v>
      </c>
      <c r="E13" s="5" t="n">
        <v>0.5</v>
      </c>
      <c r="F13" s="6" t="n">
        <v>0.01026979795322186</v>
      </c>
      <c r="H13" s="7" t="inlineStr">
        <is>
          <t>Nilai ripple juga berbanding terbalik dengan Lo dan Co. Induktor atau kapasitor lebih besar membuat ripple lebih kecil.</t>
        </is>
      </c>
    </row>
    <row r="14">
      <c r="A14" s="5" t="inlineStr">
        <is>
          <t>Skema 1</t>
        </is>
      </c>
      <c r="B14" s="5" t="n">
        <v>10</v>
      </c>
      <c r="C14" s="5" t="n">
        <v>250</v>
      </c>
      <c r="D14" s="5" t="n">
        <v>15</v>
      </c>
      <c r="E14" s="5" t="n">
        <v>0.5</v>
      </c>
      <c r="F14" s="6" t="n">
        <v>0.004564354645876384</v>
      </c>
      <c r="H14" s="7" t="inlineStr">
        <is>
          <t>Skema 1 memakai Co 250 uF sehingga ripple jauh lebih kecil daripada Skema 2 yang memakai Co 2.2 uF.</t>
        </is>
      </c>
    </row>
    <row r="15">
      <c r="A15" s="5" t="inlineStr">
        <is>
          <t>Skema 1</t>
        </is>
      </c>
      <c r="B15" s="5" t="n">
        <v>10</v>
      </c>
      <c r="C15" s="5" t="n">
        <v>250</v>
      </c>
      <c r="D15" s="5" t="n">
        <v>20</v>
      </c>
      <c r="E15" s="5" t="n">
        <v>0.5</v>
      </c>
      <c r="F15" s="6" t="n">
        <v>0.002567449488305466</v>
      </c>
      <c r="H15" s="7" t="inlineStr">
        <is>
          <t>Duty cycle memberi faktor D(1-D) dan akar. Pada rentang ini ripple terbesar biasanya dekat D sekitar 0.5-0.6.</t>
        </is>
      </c>
    </row>
    <row r="16">
      <c r="A16" s="5" t="inlineStr">
        <is>
          <t>Skema 1</t>
        </is>
      </c>
      <c r="B16" s="5" t="n">
        <v>10</v>
      </c>
      <c r="C16" s="5" t="n">
        <v>250</v>
      </c>
      <c r="D16" s="5" t="n">
        <v>25</v>
      </c>
      <c r="E16" s="5" t="n">
        <v>0.5</v>
      </c>
      <c r="F16" s="6" t="n">
        <v>0.001643167672515498</v>
      </c>
    </row>
    <row r="17">
      <c r="A17" s="5" t="inlineStr">
        <is>
          <t>Skema 2</t>
        </is>
      </c>
      <c r="B17" s="5" t="n">
        <v>10</v>
      </c>
      <c r="C17" s="5" t="n">
        <v>2.2</v>
      </c>
      <c r="D17" s="5" t="n">
        <v>5</v>
      </c>
      <c r="E17" s="5" t="n">
        <v>0.5</v>
      </c>
      <c r="F17" s="6" t="n">
        <v>4.668089978737211</v>
      </c>
    </row>
    <row r="18">
      <c r="A18" s="5" t="inlineStr">
        <is>
          <t>Skema 2</t>
        </is>
      </c>
      <c r="B18" s="5" t="n">
        <v>10</v>
      </c>
      <c r="C18" s="5" t="n">
        <v>2.2</v>
      </c>
      <c r="D18" s="5" t="n">
        <v>10</v>
      </c>
      <c r="E18" s="5" t="n">
        <v>0.5</v>
      </c>
      <c r="F18" s="6" t="n">
        <v>1.167022494684303</v>
      </c>
    </row>
    <row r="19">
      <c r="A19" s="5" t="inlineStr">
        <is>
          <t>Skema 2</t>
        </is>
      </c>
      <c r="B19" s="5" t="n">
        <v>10</v>
      </c>
      <c r="C19" s="5" t="n">
        <v>2.2</v>
      </c>
      <c r="D19" s="5" t="n">
        <v>15</v>
      </c>
      <c r="E19" s="5" t="n">
        <v>0.5</v>
      </c>
      <c r="F19" s="6" t="n">
        <v>0.5186766643041345</v>
      </c>
    </row>
    <row r="20">
      <c r="A20" s="5" t="inlineStr">
        <is>
          <t>Skema 2</t>
        </is>
      </c>
      <c r="B20" s="5" t="n">
        <v>10</v>
      </c>
      <c r="C20" s="5" t="n">
        <v>2.2</v>
      </c>
      <c r="D20" s="5" t="n">
        <v>20</v>
      </c>
      <c r="E20" s="5" t="n">
        <v>0.5</v>
      </c>
      <c r="F20" s="6" t="n">
        <v>0.2917556236710757</v>
      </c>
    </row>
    <row r="21">
      <c r="A21" s="5" t="inlineStr">
        <is>
          <t>Skema 2</t>
        </is>
      </c>
      <c r="B21" s="5" t="n">
        <v>10</v>
      </c>
      <c r="C21" s="5" t="n">
        <v>2.2</v>
      </c>
      <c r="D21" s="5" t="n">
        <v>25</v>
      </c>
      <c r="E21" s="5" t="n">
        <v>0.5</v>
      </c>
      <c r="F21" s="6" t="n">
        <v>0.1867235991494884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8" t="inlineStr">
        <is>
          <t>Skema 1: Lo = 10 mH, Co = 250 uF</t>
        </is>
      </c>
    </row>
    <row r="3">
      <c r="A3" s="9" t="inlineStr">
        <is>
          <t>Duty Cycle</t>
        </is>
      </c>
      <c r="B3" s="3" t="inlineStr">
        <is>
          <t>5 kHz</t>
        </is>
      </c>
      <c r="C3" s="3" t="inlineStr">
        <is>
          <t>10 kHz</t>
        </is>
      </c>
      <c r="D3" s="3" t="inlineStr">
        <is>
          <t>15 kHz</t>
        </is>
      </c>
      <c r="E3" s="3" t="inlineStr">
        <is>
          <t>20 kHz</t>
        </is>
      </c>
      <c r="F3" s="3" t="inlineStr">
        <is>
          <t>25 kHz</t>
        </is>
      </c>
    </row>
    <row r="4">
      <c r="A4" s="10" t="n">
        <v>0.1</v>
      </c>
      <c r="B4" s="6" t="n">
        <v>0.01311655442561041</v>
      </c>
      <c r="C4" s="6" t="n">
        <v>0.003279138606402602</v>
      </c>
      <c r="D4" s="6" t="n">
        <v>0.001457394936178934</v>
      </c>
      <c r="E4" s="6" t="n">
        <v>0.0008197846516006505</v>
      </c>
      <c r="F4" s="6" t="n">
        <v>0.0005246621770244164</v>
      </c>
    </row>
    <row r="5">
      <c r="A5" s="10" t="n">
        <v>0.2</v>
      </c>
      <c r="B5" s="6" t="n">
        <v>0.02466284655103704</v>
      </c>
      <c r="C5" s="6" t="n">
        <v>0.006165711637759261</v>
      </c>
      <c r="D5" s="6" t="n">
        <v>0.002740316283448561</v>
      </c>
      <c r="E5" s="6" t="n">
        <v>0.001541427909439815</v>
      </c>
      <c r="F5" s="6" t="n">
        <v>0.0009865138620414819</v>
      </c>
    </row>
    <row r="6">
      <c r="A6" s="10" t="n">
        <v>0.3</v>
      </c>
      <c r="B6" s="6" t="n">
        <v>0.03357373973807506</v>
      </c>
      <c r="C6" s="6" t="n">
        <v>0.008393434934518764</v>
      </c>
      <c r="D6" s="6" t="n">
        <v>0.003730415526452784</v>
      </c>
      <c r="E6" s="6" t="n">
        <v>0.002098358733629691</v>
      </c>
      <c r="F6" s="6" t="n">
        <v>0.001342949589523002</v>
      </c>
    </row>
    <row r="7">
      <c r="A7" s="10" t="n">
        <v>0.4</v>
      </c>
      <c r="B7" s="6" t="n">
        <v>0.03917223506515808</v>
      </c>
      <c r="C7" s="6" t="n">
        <v>0.00979305876628952</v>
      </c>
      <c r="D7" s="6" t="n">
        <v>0.004352470562795342</v>
      </c>
      <c r="E7" s="6" t="n">
        <v>0.00244826469157238</v>
      </c>
      <c r="F7" s="6" t="n">
        <v>0.001566889402606323</v>
      </c>
    </row>
    <row r="8">
      <c r="A8" s="10" t="n">
        <v>0.5</v>
      </c>
      <c r="B8" s="6" t="n">
        <v>0.04107919181288745</v>
      </c>
      <c r="C8" s="6" t="n">
        <v>0.01026979795322186</v>
      </c>
      <c r="D8" s="6" t="n">
        <v>0.004564354645876384</v>
      </c>
      <c r="E8" s="6" t="n">
        <v>0.002567449488305466</v>
      </c>
      <c r="F8" s="6" t="n">
        <v>0.001643167672515498</v>
      </c>
    </row>
    <row r="9">
      <c r="A9" s="10" t="n">
        <v>0.6</v>
      </c>
      <c r="B9" s="6" t="n">
        <v>0.03917223506515808</v>
      </c>
      <c r="C9" s="6" t="n">
        <v>0.00979305876628952</v>
      </c>
      <c r="D9" s="6" t="n">
        <v>0.004352470562795342</v>
      </c>
      <c r="E9" s="6" t="n">
        <v>0.00244826469157238</v>
      </c>
      <c r="F9" s="6" t="n">
        <v>0.001566889402606323</v>
      </c>
    </row>
    <row r="10">
      <c r="A10" s="10" t="n">
        <v>0.7</v>
      </c>
      <c r="B10" s="6" t="n">
        <v>0.03357373973807506</v>
      </c>
      <c r="C10" s="6" t="n">
        <v>0.008393434934518764</v>
      </c>
      <c r="D10" s="6" t="n">
        <v>0.003730415526452784</v>
      </c>
      <c r="E10" s="6" t="n">
        <v>0.002098358733629691</v>
      </c>
      <c r="F10" s="6" t="n">
        <v>0.001342949589523002</v>
      </c>
    </row>
    <row r="11">
      <c r="A11" s="10" t="n">
        <v>0.8</v>
      </c>
      <c r="B11" s="6" t="n">
        <v>0.02466284655103704</v>
      </c>
      <c r="C11" s="6" t="n">
        <v>0.006165711637759259</v>
      </c>
      <c r="D11" s="6" t="n">
        <v>0.00274031628344856</v>
      </c>
      <c r="E11" s="6" t="n">
        <v>0.001541427909439815</v>
      </c>
      <c r="F11" s="6" t="n">
        <v>0.0009865138620414817</v>
      </c>
    </row>
    <row r="12">
      <c r="A12" s="10" t="n">
        <v>0.9</v>
      </c>
      <c r="B12" s="6" t="n">
        <v>0.01311655442561041</v>
      </c>
      <c r="C12" s="6" t="n">
        <v>0.003279138606402601</v>
      </c>
      <c r="D12" s="6" t="n">
        <v>0.001457394936178934</v>
      </c>
      <c r="E12" s="6" t="n">
        <v>0.0008197846516006503</v>
      </c>
      <c r="F12" s="6" t="n">
        <v>0.0005246621770244161</v>
      </c>
    </row>
  </sheetData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8" t="inlineStr">
        <is>
          <t>Skema 2: Lo = 10 mH, Co = 2.2 uF</t>
        </is>
      </c>
    </row>
    <row r="3">
      <c r="A3" s="9" t="inlineStr">
        <is>
          <t>Duty Cycle</t>
        </is>
      </c>
      <c r="B3" s="3" t="inlineStr">
        <is>
          <t>5 kHz</t>
        </is>
      </c>
      <c r="C3" s="3" t="inlineStr">
        <is>
          <t>10 kHz</t>
        </is>
      </c>
      <c r="D3" s="3" t="inlineStr">
        <is>
          <t>15 kHz</t>
        </is>
      </c>
      <c r="E3" s="3" t="inlineStr">
        <is>
          <t>20 kHz</t>
        </is>
      </c>
      <c r="F3" s="3" t="inlineStr">
        <is>
          <t>25 kHz</t>
        </is>
      </c>
    </row>
    <row r="4">
      <c r="A4" s="10" t="n">
        <v>0.1</v>
      </c>
      <c r="B4" s="6" t="n">
        <v>1.490517548364819</v>
      </c>
      <c r="C4" s="6" t="n">
        <v>0.3726293870912047</v>
      </c>
      <c r="D4" s="6" t="n">
        <v>0.1656130609294243</v>
      </c>
      <c r="E4" s="6" t="n">
        <v>0.09315734677280119</v>
      </c>
      <c r="F4" s="6" t="n">
        <v>0.05962070193459276</v>
      </c>
    </row>
    <row r="5">
      <c r="A5" s="10" t="n">
        <v>0.2</v>
      </c>
      <c r="B5" s="6" t="n">
        <v>2.802596198981482</v>
      </c>
      <c r="C5" s="6" t="n">
        <v>0.7006490497453706</v>
      </c>
      <c r="D5" s="6" t="n">
        <v>0.3113995776646091</v>
      </c>
      <c r="E5" s="6" t="n">
        <v>0.1751622624363426</v>
      </c>
      <c r="F5" s="6" t="n">
        <v>0.1121038479592593</v>
      </c>
    </row>
    <row r="6">
      <c r="A6" s="10" t="n">
        <v>0.3</v>
      </c>
      <c r="B6" s="6" t="n">
        <v>3.815197697508529</v>
      </c>
      <c r="C6" s="6" t="n">
        <v>0.9537994243771322</v>
      </c>
      <c r="D6" s="6" t="n">
        <v>0.4239108552787255</v>
      </c>
      <c r="E6" s="6" t="n">
        <v>0.238449856094283</v>
      </c>
      <c r="F6" s="6" t="n">
        <v>0.1526079079003412</v>
      </c>
    </row>
    <row r="7">
      <c r="A7" s="10" t="n">
        <v>0.4</v>
      </c>
      <c r="B7" s="6" t="n">
        <v>4.451390348313418</v>
      </c>
      <c r="C7" s="6" t="n">
        <v>1.112847587078355</v>
      </c>
      <c r="D7" s="6" t="n">
        <v>0.4945989275903797</v>
      </c>
      <c r="E7" s="6" t="n">
        <v>0.2782118967695886</v>
      </c>
      <c r="F7" s="6" t="n">
        <v>0.1780556139325367</v>
      </c>
    </row>
    <row r="8">
      <c r="A8" s="10" t="n">
        <v>0.5</v>
      </c>
      <c r="B8" s="6" t="n">
        <v>4.668089978737211</v>
      </c>
      <c r="C8" s="6" t="n">
        <v>1.167022494684303</v>
      </c>
      <c r="D8" s="6" t="n">
        <v>0.5186766643041345</v>
      </c>
      <c r="E8" s="6" t="n">
        <v>0.2917556236710757</v>
      </c>
      <c r="F8" s="6" t="n">
        <v>0.1867235991494884</v>
      </c>
    </row>
    <row r="9">
      <c r="A9" s="10" t="n">
        <v>0.6</v>
      </c>
      <c r="B9" s="6" t="n">
        <v>4.451390348313418</v>
      </c>
      <c r="C9" s="6" t="n">
        <v>1.112847587078355</v>
      </c>
      <c r="D9" s="6" t="n">
        <v>0.4945989275903797</v>
      </c>
      <c r="E9" s="6" t="n">
        <v>0.2782118967695886</v>
      </c>
      <c r="F9" s="6" t="n">
        <v>0.1780556139325367</v>
      </c>
    </row>
    <row r="10">
      <c r="A10" s="10" t="n">
        <v>0.7</v>
      </c>
      <c r="B10" s="6" t="n">
        <v>3.815197697508528</v>
      </c>
      <c r="C10" s="6" t="n">
        <v>0.9537994243771321</v>
      </c>
      <c r="D10" s="6" t="n">
        <v>0.4239108552787254</v>
      </c>
      <c r="E10" s="6" t="n">
        <v>0.238449856094283</v>
      </c>
      <c r="F10" s="6" t="n">
        <v>0.1526079079003412</v>
      </c>
    </row>
    <row r="11">
      <c r="A11" s="10" t="n">
        <v>0.8</v>
      </c>
      <c r="B11" s="6" t="n">
        <v>2.802596198981482</v>
      </c>
      <c r="C11" s="6" t="n">
        <v>0.7006490497453705</v>
      </c>
      <c r="D11" s="6" t="n">
        <v>0.3113995776646091</v>
      </c>
      <c r="E11" s="6" t="n">
        <v>0.1751622624363426</v>
      </c>
      <c r="F11" s="6" t="n">
        <v>0.1121038479592593</v>
      </c>
    </row>
    <row r="12">
      <c r="A12" s="10" t="n">
        <v>0.9</v>
      </c>
      <c r="B12" s="6" t="n">
        <v>1.490517548364819</v>
      </c>
      <c r="C12" s="6" t="n">
        <v>0.3726293870912046</v>
      </c>
      <c r="D12" s="6" t="n">
        <v>0.1656130609294243</v>
      </c>
      <c r="E12" s="6" t="n">
        <v>0.09315734677280116</v>
      </c>
      <c r="F12" s="6" t="n">
        <v>0.05962070193459275</v>
      </c>
    </row>
  </sheetData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8" t="inlineStr">
        <is>
          <t>Sweep Nilai Induktor pada D = 0.5</t>
        </is>
      </c>
    </row>
    <row r="3">
      <c r="A3" s="3" t="inlineStr">
        <is>
          <t>Co (uF)</t>
        </is>
      </c>
      <c r="B3" s="3" t="inlineStr">
        <is>
          <t>Lo (mH)</t>
        </is>
      </c>
      <c r="C3" s="3" t="inlineStr">
        <is>
          <t>5 kHz</t>
        </is>
      </c>
      <c r="D3" s="3" t="inlineStr">
        <is>
          <t>10 kHz</t>
        </is>
      </c>
      <c r="E3" s="3" t="inlineStr">
        <is>
          <t>15 kHz</t>
        </is>
      </c>
      <c r="F3" s="3" t="inlineStr">
        <is>
          <t>20 kHz</t>
        </is>
      </c>
      <c r="G3" s="3" t="inlineStr">
        <is>
          <t>25 kHz</t>
        </is>
      </c>
    </row>
    <row r="4">
      <c r="A4" s="5" t="n">
        <v>250</v>
      </c>
      <c r="B4" s="5" t="n">
        <v>5</v>
      </c>
      <c r="C4" s="6" t="n">
        <v>0.08215838362577491</v>
      </c>
      <c r="D4" s="6" t="n">
        <v>0.02053959590644373</v>
      </c>
      <c r="E4" s="6" t="n">
        <v>0.009128709291752768</v>
      </c>
      <c r="F4" s="6" t="n">
        <v>0.005134898976610932</v>
      </c>
      <c r="G4" s="6" t="n">
        <v>0.003286335345030996</v>
      </c>
    </row>
    <row r="5">
      <c r="A5" s="5" t="n">
        <v>250</v>
      </c>
      <c r="B5" s="5" t="n">
        <v>10</v>
      </c>
      <c r="C5" s="6" t="n">
        <v>0.04107919181288745</v>
      </c>
      <c r="D5" s="6" t="n">
        <v>0.01026979795322186</v>
      </c>
      <c r="E5" s="6" t="n">
        <v>0.004564354645876384</v>
      </c>
      <c r="F5" s="6" t="n">
        <v>0.002567449488305466</v>
      </c>
      <c r="G5" s="6" t="n">
        <v>0.001643167672515498</v>
      </c>
    </row>
    <row r="6">
      <c r="A6" s="5" t="n">
        <v>250</v>
      </c>
      <c r="B6" s="5" t="n">
        <v>15</v>
      </c>
      <c r="C6" s="6" t="n">
        <v>0.02738612787525831</v>
      </c>
      <c r="D6" s="6" t="n">
        <v>0.006846531968814577</v>
      </c>
      <c r="E6" s="6" t="n">
        <v>0.003042903097250923</v>
      </c>
      <c r="F6" s="6" t="n">
        <v>0.001711632992203644</v>
      </c>
      <c r="G6" s="6" t="n">
        <v>0.001095445115010332</v>
      </c>
    </row>
    <row r="7">
      <c r="A7" s="5" t="n">
        <v>250</v>
      </c>
      <c r="B7" s="5" t="n">
        <v>20</v>
      </c>
      <c r="C7" s="6" t="n">
        <v>0.02053959590644373</v>
      </c>
      <c r="D7" s="6" t="n">
        <v>0.005134898976610932</v>
      </c>
      <c r="E7" s="6" t="n">
        <v>0.002282177322938192</v>
      </c>
      <c r="F7" s="6" t="n">
        <v>0.001283724744152733</v>
      </c>
      <c r="G7" s="6" t="n">
        <v>0.0008215838362577491</v>
      </c>
    </row>
    <row r="8">
      <c r="A8" s="5" t="n">
        <v>2.2</v>
      </c>
      <c r="B8" s="5" t="n">
        <v>5</v>
      </c>
      <c r="C8" s="6" t="n">
        <v>9.336179957474421</v>
      </c>
      <c r="D8" s="6" t="n">
        <v>2.334044989368605</v>
      </c>
      <c r="E8" s="6" t="n">
        <v>1.037353328608269</v>
      </c>
      <c r="F8" s="6" t="n">
        <v>0.5835112473421513</v>
      </c>
      <c r="G8" s="6" t="n">
        <v>0.3734471982989768</v>
      </c>
    </row>
    <row r="9">
      <c r="A9" s="5" t="n">
        <v>2.2</v>
      </c>
      <c r="B9" s="5" t="n">
        <v>10</v>
      </c>
      <c r="C9" s="6" t="n">
        <v>4.668089978737211</v>
      </c>
      <c r="D9" s="6" t="n">
        <v>1.167022494684303</v>
      </c>
      <c r="E9" s="6" t="n">
        <v>0.5186766643041345</v>
      </c>
      <c r="F9" s="6" t="n">
        <v>0.2917556236710757</v>
      </c>
      <c r="G9" s="6" t="n">
        <v>0.1867235991494884</v>
      </c>
    </row>
    <row r="10">
      <c r="A10" s="5" t="n">
        <v>2.2</v>
      </c>
      <c r="B10" s="5" t="n">
        <v>15</v>
      </c>
      <c r="C10" s="6" t="n">
        <v>3.112059985824807</v>
      </c>
      <c r="D10" s="6" t="n">
        <v>0.7780149964562018</v>
      </c>
      <c r="E10" s="6" t="n">
        <v>0.345784442869423</v>
      </c>
      <c r="F10" s="6" t="n">
        <v>0.1945037491140504</v>
      </c>
      <c r="G10" s="6" t="n">
        <v>0.1244823994329923</v>
      </c>
    </row>
    <row r="11">
      <c r="A11" s="5" t="n">
        <v>2.2</v>
      </c>
      <c r="B11" s="5" t="n">
        <v>20</v>
      </c>
      <c r="C11" s="6" t="n">
        <v>2.334044989368605</v>
      </c>
      <c r="D11" s="6" t="n">
        <v>0.5835112473421513</v>
      </c>
      <c r="E11" s="6" t="n">
        <v>0.2593383321520673</v>
      </c>
      <c r="F11" s="6" t="n">
        <v>0.1458778118355378</v>
      </c>
      <c r="G11" s="6" t="n">
        <v>0.09336179957474421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8" t="inlineStr">
        <is>
          <t>Input dan Rumus Excel</t>
        </is>
      </c>
    </row>
    <row r="3">
      <c r="A3" s="11" t="inlineStr">
        <is>
          <t>Vll (V)</t>
        </is>
      </c>
      <c r="B3" s="5" t="n">
        <v>225</v>
      </c>
    </row>
    <row r="4">
      <c r="A4" s="11" t="inlineStr">
        <is>
          <t>D</t>
        </is>
      </c>
      <c r="B4" s="5" t="n">
        <v>0.5</v>
      </c>
    </row>
    <row r="5">
      <c r="A5" s="11" t="inlineStr">
        <is>
          <t>fs (Hz)</t>
        </is>
      </c>
      <c r="B5" s="5" t="n">
        <v>5000</v>
      </c>
    </row>
    <row r="6">
      <c r="A6" s="11" t="inlineStr">
        <is>
          <t>Lo (H)</t>
        </is>
      </c>
      <c r="B6" s="5" t="n">
        <v>0.01</v>
      </c>
    </row>
    <row r="7">
      <c r="A7" s="11" t="inlineStr">
        <is>
          <t>Co (F)</t>
        </is>
      </c>
      <c r="B7" s="5" t="n">
        <v>0.00025</v>
      </c>
    </row>
    <row r="10">
      <c r="A10" s="2" t="inlineStr">
        <is>
          <t>Hasil Vo ripple (V)</t>
        </is>
      </c>
      <c r="B10" s="12">
        <f>B3*B4*(1-B4)/(12*B5^2*B6*B7)*SQRT((1+2*B4-2*B4^2)/5)</f>
        <v/>
      </c>
    </row>
    <row r="12">
      <c r="A12" s="2" t="inlineStr">
        <is>
          <t>Rumus teks</t>
        </is>
      </c>
      <c r="B12">
        <f>Vll*D*(1-D)/(12*fs^2*Lo*Co)*SQRT((1+2D-2D^2)/5)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2026-05-25T17:40:46Z</dcterms:created>
  <dcterms:modified xsi:type="dcterms:W3CDTF">2026-05-25T17:40:46Z</dcterms:modified>
</cp:coreProperties>
</file>